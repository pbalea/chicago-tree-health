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1"/>
  <workbookPr defaultThemeVersion="166925"/>
  <xr:revisionPtr revIDLastSave="170" documentId="11_E60897F41BE170836B02CE998F75CCDC64E183C8" xr6:coauthVersionLast="47" xr6:coauthVersionMax="47" xr10:uidLastSave="{B19D1893-7B67-4698-8706-C605A774756F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2" i="1" l="1"/>
  <c r="B13" i="1"/>
  <c r="B14" i="1"/>
  <c r="B3" i="1"/>
  <c r="B4" i="1"/>
  <c r="B5" i="1"/>
  <c r="B6" i="1"/>
  <c r="B7" i="1"/>
  <c r="B8" i="1"/>
  <c r="B9" i="1"/>
  <c r="B10" i="1"/>
  <c r="B11" i="1"/>
  <c r="B2" i="1"/>
</calcChain>
</file>

<file path=xl/sharedStrings.xml><?xml version="1.0" encoding="utf-8"?>
<sst xmlns="http://schemas.openxmlformats.org/spreadsheetml/2006/main" count="44" uniqueCount="32">
  <si>
    <t>Species</t>
  </si>
  <si>
    <t>Count</t>
  </si>
  <si>
    <t>Pct_leaf_area</t>
  </si>
  <si>
    <t>Pct_population</t>
  </si>
  <si>
    <t>Coniferous</t>
  </si>
  <si>
    <t>Native</t>
  </si>
  <si>
    <t>Carbon_storage (lbs)</t>
  </si>
  <si>
    <t>Carbon_sequestration (lbs/yr)</t>
  </si>
  <si>
    <t>Pollution_removal (lbs/yr)</t>
  </si>
  <si>
    <t>Value_dollar</t>
  </si>
  <si>
    <t>Invasive</t>
  </si>
  <si>
    <t>Avg_stem_DBH_inches</t>
  </si>
  <si>
    <t>Data Source</t>
  </si>
  <si>
    <t>Notes</t>
  </si>
  <si>
    <t>Silver maple</t>
  </si>
  <si>
    <t>Appendix I, USDA, Urban Trees and Forests of the Chicago Region</t>
  </si>
  <si>
    <t>Norway maple</t>
  </si>
  <si>
    <t>White ash</t>
  </si>
  <si>
    <t>American elm</t>
  </si>
  <si>
    <t>Honeylocust</t>
  </si>
  <si>
    <t>Mulberry species</t>
  </si>
  <si>
    <t xml:space="preserve">"mulberry spp" </t>
  </si>
  <si>
    <t>Basswood</t>
  </si>
  <si>
    <t>"basswood spp"</t>
  </si>
  <si>
    <t>White mulberry</t>
  </si>
  <si>
    <t>Cottonwood</t>
  </si>
  <si>
    <t>"cottonwood spp"</t>
  </si>
  <si>
    <t>Tree of heaven</t>
  </si>
  <si>
    <t>European buckthorn</t>
  </si>
  <si>
    <t>Buckthorn spp.</t>
  </si>
  <si>
    <t>"european buckthorn"</t>
  </si>
  <si>
    <t>Ash spp.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</si>
</sst>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4"/>
  <sheetViews>
    <sheetView tabSelected="1" workbookViewId="0">
      <selection activeCell="G12" sqref="G12:H14"/>
    </sheetView>
  </sheetViews>
  <sheetFormatPr defaultRowHeight="15"/>
  <cols>
    <col min="1" max="1" width="19.42578125" customWidth="1"/>
    <col min="3" max="3" width="13.85546875" customWidth="1"/>
    <col min="4" max="4" width="15" customWidth="1"/>
    <col min="5" max="5" width="11.42578125" customWidth="1"/>
    <col min="7" max="7" width="18.85546875" customWidth="1"/>
    <col min="8" max="8" width="26.7109375" customWidth="1"/>
    <col min="9" max="9" width="23" customWidth="1"/>
    <col min="10" max="10" width="12" customWidth="1"/>
    <col min="11" max="11" width="8.7109375" customWidth="1"/>
    <col min="12" max="12" width="21.140625" customWidth="1"/>
    <col min="13" max="13" width="56.140625" customWidth="1"/>
    <col min="14" max="14" width="20.2851562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f>3997000*(D2/100)</f>
        <v>159880</v>
      </c>
      <c r="C2">
        <v>16</v>
      </c>
      <c r="D2">
        <v>4</v>
      </c>
      <c r="G2">
        <v>550</v>
      </c>
      <c r="H2">
        <v>22.8</v>
      </c>
      <c r="I2">
        <v>0.8</v>
      </c>
      <c r="L2">
        <v>13.3</v>
      </c>
      <c r="M2" t="s">
        <v>15</v>
      </c>
    </row>
    <row r="3" spans="1:14">
      <c r="A3" t="s">
        <v>16</v>
      </c>
      <c r="B3">
        <f t="shared" ref="B3:B14" si="0">3997000*(D3/100)</f>
        <v>119910</v>
      </c>
      <c r="C3">
        <v>11</v>
      </c>
      <c r="D3">
        <v>3</v>
      </c>
      <c r="G3">
        <v>135</v>
      </c>
      <c r="H3">
        <v>10.1</v>
      </c>
      <c r="I3">
        <v>0.3</v>
      </c>
      <c r="L3">
        <v>8.6</v>
      </c>
      <c r="M3" t="s">
        <v>15</v>
      </c>
    </row>
    <row r="4" spans="1:14">
      <c r="A4" t="s">
        <v>17</v>
      </c>
      <c r="B4">
        <f t="shared" si="0"/>
        <v>239820</v>
      </c>
      <c r="C4">
        <v>7</v>
      </c>
      <c r="D4">
        <v>6</v>
      </c>
      <c r="G4">
        <v>39</v>
      </c>
      <c r="H4">
        <v>5.3</v>
      </c>
      <c r="I4">
        <v>0.1</v>
      </c>
      <c r="L4">
        <v>5</v>
      </c>
      <c r="M4" t="s">
        <v>15</v>
      </c>
    </row>
    <row r="5" spans="1:14">
      <c r="A5" t="s">
        <v>18</v>
      </c>
      <c r="B5">
        <f t="shared" si="0"/>
        <v>199850</v>
      </c>
      <c r="C5">
        <v>6</v>
      </c>
      <c r="D5">
        <v>5</v>
      </c>
      <c r="G5">
        <v>39</v>
      </c>
      <c r="H5">
        <v>5.3</v>
      </c>
      <c r="I5">
        <v>0.1</v>
      </c>
      <c r="L5">
        <v>5.4</v>
      </c>
      <c r="M5" t="s">
        <v>15</v>
      </c>
    </row>
    <row r="6" spans="1:14">
      <c r="A6" t="s">
        <v>19</v>
      </c>
      <c r="B6">
        <f t="shared" si="0"/>
        <v>199850</v>
      </c>
      <c r="C6">
        <v>6</v>
      </c>
      <c r="D6">
        <v>5</v>
      </c>
      <c r="G6">
        <v>550</v>
      </c>
      <c r="H6">
        <v>22.8</v>
      </c>
      <c r="I6">
        <v>0.8</v>
      </c>
      <c r="L6">
        <v>12.2</v>
      </c>
      <c r="M6" t="s">
        <v>15</v>
      </c>
    </row>
    <row r="7" spans="1:14">
      <c r="A7" t="s">
        <v>20</v>
      </c>
      <c r="B7">
        <f t="shared" si="0"/>
        <v>79940</v>
      </c>
      <c r="C7">
        <v>5</v>
      </c>
      <c r="D7">
        <v>2</v>
      </c>
      <c r="G7">
        <v>39</v>
      </c>
      <c r="H7">
        <v>5.3</v>
      </c>
      <c r="I7">
        <v>0.1</v>
      </c>
      <c r="L7">
        <v>5.3</v>
      </c>
      <c r="M7" t="s">
        <v>15</v>
      </c>
      <c r="N7" t="s">
        <v>21</v>
      </c>
    </row>
    <row r="8" spans="1:14">
      <c r="A8" t="s">
        <v>22</v>
      </c>
      <c r="B8">
        <f t="shared" si="0"/>
        <v>79940</v>
      </c>
      <c r="C8">
        <v>5</v>
      </c>
      <c r="D8">
        <v>2</v>
      </c>
      <c r="G8">
        <v>135</v>
      </c>
      <c r="H8">
        <v>10.1</v>
      </c>
      <c r="I8">
        <v>0.3</v>
      </c>
      <c r="L8">
        <v>6.2</v>
      </c>
      <c r="M8" t="s">
        <v>15</v>
      </c>
      <c r="N8" t="s">
        <v>23</v>
      </c>
    </row>
    <row r="9" spans="1:14">
      <c r="A9" t="s">
        <v>24</v>
      </c>
      <c r="B9">
        <f t="shared" si="0"/>
        <v>559580</v>
      </c>
      <c r="C9">
        <v>4</v>
      </c>
      <c r="D9">
        <v>14</v>
      </c>
      <c r="G9">
        <v>39</v>
      </c>
      <c r="H9">
        <v>5.3</v>
      </c>
      <c r="I9">
        <v>0.1</v>
      </c>
      <c r="L9">
        <v>5.9</v>
      </c>
      <c r="M9" t="s">
        <v>15</v>
      </c>
    </row>
    <row r="10" spans="1:14">
      <c r="A10" t="s">
        <v>25</v>
      </c>
      <c r="B10">
        <f t="shared" si="0"/>
        <v>39970</v>
      </c>
      <c r="C10">
        <v>4</v>
      </c>
      <c r="D10">
        <v>1</v>
      </c>
      <c r="G10">
        <v>309</v>
      </c>
      <c r="H10">
        <v>17.100000000000001</v>
      </c>
      <c r="I10">
        <v>0.5</v>
      </c>
      <c r="L10">
        <v>9.5</v>
      </c>
      <c r="M10" t="s">
        <v>15</v>
      </c>
      <c r="N10" t="s">
        <v>26</v>
      </c>
    </row>
    <row r="11" spans="1:14">
      <c r="A11" t="s">
        <v>27</v>
      </c>
      <c r="B11">
        <f t="shared" si="0"/>
        <v>199850</v>
      </c>
      <c r="C11">
        <v>4</v>
      </c>
      <c r="D11">
        <v>5</v>
      </c>
      <c r="G11">
        <v>39</v>
      </c>
      <c r="H11">
        <v>5.3</v>
      </c>
      <c r="I11">
        <v>0.1</v>
      </c>
      <c r="L11">
        <v>4.2</v>
      </c>
      <c r="M11" t="s">
        <v>15</v>
      </c>
    </row>
    <row r="12" spans="1:14">
      <c r="A12" t="s">
        <v>28</v>
      </c>
      <c r="B12">
        <f t="shared" si="0"/>
        <v>239820</v>
      </c>
      <c r="C12">
        <v>1</v>
      </c>
      <c r="D12">
        <v>6</v>
      </c>
      <c r="G12">
        <v>6</v>
      </c>
      <c r="H12">
        <v>1.7</v>
      </c>
      <c r="I12">
        <v>0.04</v>
      </c>
      <c r="L12">
        <v>2.6</v>
      </c>
      <c r="M12" t="s">
        <v>15</v>
      </c>
    </row>
    <row r="13" spans="1:14">
      <c r="A13" t="s">
        <v>29</v>
      </c>
      <c r="B13">
        <f t="shared" si="0"/>
        <v>159880</v>
      </c>
      <c r="C13">
        <v>1</v>
      </c>
      <c r="D13">
        <v>4</v>
      </c>
      <c r="G13">
        <v>6</v>
      </c>
      <c r="H13">
        <v>1.7</v>
      </c>
      <c r="I13">
        <v>0.04</v>
      </c>
      <c r="L13">
        <v>2.6</v>
      </c>
      <c r="M13" t="s">
        <v>15</v>
      </c>
      <c r="N13" t="s">
        <v>30</v>
      </c>
    </row>
    <row r="14" spans="1:14">
      <c r="A14" t="s">
        <v>31</v>
      </c>
      <c r="B14">
        <f t="shared" si="0"/>
        <v>119910</v>
      </c>
      <c r="C14">
        <v>1</v>
      </c>
      <c r="D14">
        <v>3</v>
      </c>
      <c r="G14">
        <v>6</v>
      </c>
      <c r="H14">
        <v>1.7</v>
      </c>
      <c r="I14">
        <v>0.04</v>
      </c>
      <c r="L14">
        <v>2.2999999999999998</v>
      </c>
      <c r="M14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Paul Balea</cp:lastModifiedBy>
  <cp:revision/>
  <dcterms:created xsi:type="dcterms:W3CDTF">2026-01-27T01:00:21Z</dcterms:created>
  <dcterms:modified xsi:type="dcterms:W3CDTF">2026-02-12T05:49:23Z</dcterms:modified>
  <cp:category/>
  <cp:contentStatus/>
</cp:coreProperties>
</file>